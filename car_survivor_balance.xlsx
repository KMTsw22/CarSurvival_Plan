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 스탯" sheetId="1" state="visible" r:id="rId1"/>
    <sheet xmlns:r="http://schemas.openxmlformats.org/officeDocument/2006/relationships" name="파츠 밸런스" sheetId="2" state="visible" r:id="rId2"/>
    <sheet xmlns:r="http://schemas.openxmlformats.org/officeDocument/2006/relationships" name="파츠 진화" sheetId="3" state="visible" r:id="rId3"/>
    <sheet xmlns:r="http://schemas.openxmlformats.org/officeDocument/2006/relationships" name="웨이브 타임라인" sheetId="4" state="visible" r:id="rId4"/>
    <sheet xmlns:r="http://schemas.openxmlformats.org/officeDocument/2006/relationships" name="수익화 수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88888"/>
      <sz val="9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C0000"/>
      <sz val="9"/>
    </font>
    <font>
      <name val="Arial"/>
      <i val="1"/>
      <color rgb="00CC0000"/>
      <sz val="9"/>
    </font>
    <font>
      <name val="Arial"/>
      <b val="1"/>
      <color rgb="00CC0000"/>
      <sz val="10"/>
    </font>
    <font>
      <name val="Arial"/>
      <b val="1"/>
      <color rgb="00555555"/>
      <sz val="10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9C4"/>
      </patternFill>
    </fill>
    <fill>
      <patternFill patternType="solid">
        <fgColor rgb="00F2F2F2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22" customWidth="1" min="8" max="8"/>
  </cols>
  <sheetData>
    <row r="1" ht="24" customHeight="1">
      <c r="A1" s="1" t="inlineStr">
        <is>
          <t>🚗 Car Survivor — 기본 스탯 (Base Stats)</t>
        </is>
      </c>
    </row>
    <row r="2">
      <c r="A2" s="2" t="inlineStr">
        <is>
          <t>⚠️ 노란색 셀 = 개발자가 수정 가능한 입력값 / 초록색 셀 = 자동 계산값</t>
        </is>
      </c>
    </row>
    <row r="4" ht="20" customHeight="1">
      <c r="A4" s="3" t="inlineStr">
        <is>
          <t xml:space="preserve">  차량 기본 스탯 (Vehicle Base Stats)</t>
        </is>
      </c>
    </row>
    <row r="5">
      <c r="A5" s="4" t="inlineStr">
        <is>
          <t>차량</t>
        </is>
      </c>
      <c r="B5" s="4" t="inlineStr">
        <is>
          <t>기본 속도
(units/s)</t>
        </is>
      </c>
      <c r="C5" s="4" t="inlineStr">
        <is>
          <t>기본 체력
(HP)</t>
        </is>
      </c>
      <c r="D5" s="4" t="inlineStr">
        <is>
          <t>기본 공격속도
(shots/s)</t>
        </is>
      </c>
      <c r="E5" s="4" t="inlineStr">
        <is>
          <t>공격 데미지
(1회)</t>
        </is>
      </c>
      <c r="F5" s="4" t="inlineStr">
        <is>
          <t>충돌 데미지
(1회)</t>
        </is>
      </c>
      <c r="G5" s="4" t="inlineStr">
        <is>
          <t>고유 패시브</t>
        </is>
      </c>
      <c r="H5" s="4" t="inlineStr">
        <is>
          <t>비고</t>
        </is>
      </c>
    </row>
    <row r="6">
      <c r="A6" s="5" t="inlineStr">
        <is>
          <t>스포츠카</t>
        </is>
      </c>
      <c r="B6" s="6" t="n">
        <v>5</v>
      </c>
      <c r="C6" s="6" t="n">
        <v>100</v>
      </c>
      <c r="D6" s="6" t="n">
        <v>1.5</v>
      </c>
      <c r="E6" s="6" t="n">
        <v>15</v>
      </c>
      <c r="F6" s="6" t="n">
        <v>10</v>
      </c>
      <c r="G6" s="7" t="inlineStr">
        <is>
          <t>공격 쿨타임 -15%</t>
        </is>
      </c>
      <c r="H6" s="7" t="inlineStr">
        <is>
          <t>시작 차량</t>
        </is>
      </c>
    </row>
    <row r="7">
      <c r="A7" s="5" t="inlineStr">
        <is>
          <t>SUV</t>
        </is>
      </c>
      <c r="B7" s="6" t="n">
        <v>3.5</v>
      </c>
      <c r="C7" s="6" t="n">
        <v>140</v>
      </c>
      <c r="D7" s="6" t="n">
        <v>1</v>
      </c>
      <c r="E7" s="6" t="n">
        <v>15</v>
      </c>
      <c r="F7" s="6" t="n">
        <v>12</v>
      </c>
      <c r="G7" s="7" t="inlineStr">
        <is>
          <t>기본 방어력 +10%</t>
        </is>
      </c>
      <c r="H7" s="7" t="inlineStr">
        <is>
          <t>골드 500 언락</t>
        </is>
      </c>
    </row>
    <row r="8">
      <c r="A8" s="5" t="inlineStr">
        <is>
          <t>트럭</t>
        </is>
      </c>
      <c r="B8" s="6" t="n">
        <v>2.5</v>
      </c>
      <c r="C8" s="6" t="n">
        <v>200</v>
      </c>
      <c r="D8" s="6" t="n">
        <v>0.8</v>
      </c>
      <c r="E8" s="6" t="n">
        <v>15</v>
      </c>
      <c r="F8" s="6" t="n">
        <v>20</v>
      </c>
      <c r="G8" s="7" t="inlineStr">
        <is>
          <t>충돌 반사 데미지</t>
        </is>
      </c>
      <c r="H8" s="7" t="inlineStr">
        <is>
          <t>골드 1500 언락</t>
        </is>
      </c>
    </row>
    <row r="10">
      <c r="A10" s="3" t="inlineStr">
        <is>
          <t xml:space="preserve">  레벨업 / 경험치 (XP &amp; Level)</t>
        </is>
      </c>
    </row>
    <row r="11">
      <c r="A11" s="4" t="inlineStr">
        <is>
          <t>레벨</t>
        </is>
      </c>
      <c r="B11" s="4" t="inlineStr">
        <is>
          <t>필요 파편 (누적)</t>
        </is>
      </c>
      <c r="C11" s="4" t="inlineStr">
        <is>
          <t>필요 파편 (구간)</t>
        </is>
      </c>
      <c r="D11" s="4" t="inlineStr">
        <is>
          <t>웨이브 난이도 배율</t>
        </is>
      </c>
      <c r="E11" s="4" t="inlineStr">
        <is>
          <t>파츠 카드 등급 보정</t>
        </is>
      </c>
      <c r="F11" s="4" t="inlineStr">
        <is>
          <t>비고</t>
        </is>
      </c>
    </row>
    <row r="12">
      <c r="A12" s="5" t="n">
        <v>1</v>
      </c>
      <c r="B12" s="6" t="n">
        <v>30</v>
      </c>
      <c r="C12" s="8" t="n">
        <v>30</v>
      </c>
      <c r="D12" s="6" t="n">
        <v>1</v>
      </c>
      <c r="E12" s="7" t="inlineStr">
        <is>
          <t>일반 위주</t>
        </is>
      </c>
      <c r="F12" s="7" t="inlineStr">
        <is>
          <t>초반 튜토리얼 구간</t>
        </is>
      </c>
    </row>
    <row r="13">
      <c r="A13" s="5" t="n">
        <v>2</v>
      </c>
      <c r="B13" s="6" t="n">
        <v>70</v>
      </c>
      <c r="C13" s="8">
        <f>B13-B12</f>
        <v/>
      </c>
      <c r="D13" s="6" t="n">
        <v>1.1</v>
      </c>
      <c r="E13" s="7" t="inlineStr">
        <is>
          <t>일반 위주</t>
        </is>
      </c>
      <c r="F13" s="7" t="inlineStr"/>
    </row>
    <row r="14">
      <c r="A14" s="5" t="n">
        <v>3</v>
      </c>
      <c r="B14" s="6" t="n">
        <v>120</v>
      </c>
      <c r="C14" s="8">
        <f>B14-B13</f>
        <v/>
      </c>
      <c r="D14" s="6" t="n">
        <v>1.2</v>
      </c>
      <c r="E14" s="7" t="inlineStr">
        <is>
          <t>일반/레어 혼합</t>
        </is>
      </c>
      <c r="F14" s="7" t="inlineStr"/>
    </row>
    <row r="15">
      <c r="A15" s="5" t="n">
        <v>4</v>
      </c>
      <c r="B15" s="6" t="n">
        <v>180</v>
      </c>
      <c r="C15" s="8">
        <f>B15-B14</f>
        <v/>
      </c>
      <c r="D15" s="6" t="n">
        <v>1.3</v>
      </c>
      <c r="E15" s="7" t="inlineStr">
        <is>
          <t>레어 위주</t>
        </is>
      </c>
      <c r="F15" s="7" t="inlineStr"/>
    </row>
    <row r="16">
      <c r="A16" s="5" t="n">
        <v>5</v>
      </c>
      <c r="B16" s="6" t="n">
        <v>250</v>
      </c>
      <c r="C16" s="8">
        <f>B16-B15</f>
        <v/>
      </c>
      <c r="D16" s="6" t="n">
        <v>1.5</v>
      </c>
      <c r="E16" s="7" t="inlineStr">
        <is>
          <t>레어 위주</t>
        </is>
      </c>
      <c r="F16" s="7" t="inlineStr">
        <is>
          <t>5레벨마다 진화 재료 확률 UP</t>
        </is>
      </c>
    </row>
    <row r="17">
      <c r="A17" s="5" t="n">
        <v>6</v>
      </c>
      <c r="B17" s="6" t="n">
        <v>330</v>
      </c>
      <c r="C17" s="8">
        <f>B17-B16</f>
        <v/>
      </c>
      <c r="D17" s="6" t="n">
        <v>1.6</v>
      </c>
      <c r="E17" s="7" t="inlineStr">
        <is>
          <t>레어/에픽 혼합</t>
        </is>
      </c>
      <c r="F17" s="7" t="inlineStr"/>
    </row>
    <row r="18">
      <c r="A18" s="5" t="n">
        <v>7</v>
      </c>
      <c r="B18" s="6" t="n">
        <v>420</v>
      </c>
      <c r="C18" s="8">
        <f>B18-B17</f>
        <v/>
      </c>
      <c r="D18" s="6" t="n">
        <v>1.8</v>
      </c>
      <c r="E18" s="7" t="inlineStr">
        <is>
          <t>레어/에픽 혼합</t>
        </is>
      </c>
      <c r="F18" s="7" t="inlineStr"/>
    </row>
    <row r="19">
      <c r="A19" s="5" t="n">
        <v>8</v>
      </c>
      <c r="B19" s="6" t="n">
        <v>520</v>
      </c>
      <c r="C19" s="8">
        <f>B19-B18</f>
        <v/>
      </c>
      <c r="D19" s="6" t="n">
        <v>2</v>
      </c>
      <c r="E19" s="7" t="inlineStr">
        <is>
          <t>에픽 위주</t>
        </is>
      </c>
      <c r="F19" s="7" t="inlineStr"/>
    </row>
    <row r="20">
      <c r="A20" s="5" t="n">
        <v>9</v>
      </c>
      <c r="B20" s="6" t="n">
        <v>630</v>
      </c>
      <c r="C20" s="8">
        <f>B20-B19</f>
        <v/>
      </c>
      <c r="D20" s="6" t="n">
        <v>2.2</v>
      </c>
      <c r="E20" s="7" t="inlineStr">
        <is>
          <t>에픽 위주</t>
        </is>
      </c>
      <c r="F20" s="7" t="inlineStr"/>
    </row>
    <row r="21">
      <c r="A21" s="5" t="n">
        <v>10</v>
      </c>
      <c r="B21" s="6" t="n">
        <v>750</v>
      </c>
      <c r="C21" s="8">
        <f>B21-B20</f>
        <v/>
      </c>
      <c r="D21" s="6" t="n">
        <v>2.5</v>
      </c>
      <c r="E21" s="7" t="inlineStr">
        <is>
          <t>에픽/레전더리</t>
        </is>
      </c>
      <c r="F21" s="7" t="inlineStr">
        <is>
          <t>보스 소환 트리거</t>
        </is>
      </c>
    </row>
    <row r="23">
      <c r="A23" s="3" t="inlineStr">
        <is>
          <t xml:space="preserve">  적 기본 스탯 (Enemy Base Stats)</t>
        </is>
      </c>
    </row>
    <row r="24">
      <c r="A24" s="4" t="inlineStr">
        <is>
          <t>적 이름</t>
        </is>
      </c>
      <c r="B24" s="4" t="inlineStr">
        <is>
          <t>체력 (HP)</t>
        </is>
      </c>
      <c r="C24" s="4" t="inlineStr">
        <is>
          <t>이동속도
(units/s)</t>
        </is>
      </c>
      <c r="D24" s="4" t="inlineStr">
        <is>
          <t>충돌 데미지
(플레이어)</t>
        </is>
      </c>
      <c r="E24" s="4" t="inlineStr">
        <is>
          <t>파편 드랍량</t>
        </is>
      </c>
      <c r="F24" s="4" t="inlineStr">
        <is>
          <t>스폰 시작
(분)</t>
        </is>
      </c>
      <c r="G24" s="4" t="inlineStr">
        <is>
          <t>스폰 가중치</t>
        </is>
      </c>
      <c r="H24" s="4" t="inlineStr">
        <is>
          <t>비고</t>
        </is>
      </c>
    </row>
    <row r="25">
      <c r="A25" s="5" t="inlineStr">
        <is>
          <t>러스티 세단</t>
        </is>
      </c>
      <c r="B25" s="6" t="n">
        <v>60</v>
      </c>
      <c r="C25" s="6" t="n">
        <v>2</v>
      </c>
      <c r="D25" s="6" t="n">
        <v>8</v>
      </c>
      <c r="E25" s="6" t="n">
        <v>3</v>
      </c>
      <c r="F25" s="6" t="n">
        <v>0</v>
      </c>
      <c r="G25" s="6" t="n">
        <v>10</v>
      </c>
      <c r="H25" s="7" t="inlineStr">
        <is>
          <t>기본 적, 항상 스폰</t>
        </is>
      </c>
    </row>
    <row r="26">
      <c r="A26" s="5" t="inlineStr">
        <is>
          <t>스파이크 바이크</t>
        </is>
      </c>
      <c r="B26" s="6" t="n">
        <v>30</v>
      </c>
      <c r="C26" s="6" t="n">
        <v>5</v>
      </c>
      <c r="D26" s="6" t="n">
        <v>12</v>
      </c>
      <c r="E26" s="6" t="n">
        <v>2</v>
      </c>
      <c r="F26" s="6" t="n">
        <v>2</v>
      </c>
      <c r="G26" s="6" t="n">
        <v>7</v>
      </c>
      <c r="H26" s="7" t="inlineStr">
        <is>
          <t>빠름, 측면 기습</t>
        </is>
      </c>
    </row>
    <row r="27">
      <c r="A27" s="5" t="inlineStr">
        <is>
          <t>장갑 픽업</t>
        </is>
      </c>
      <c r="B27" s="6" t="n">
        <v>150</v>
      </c>
      <c r="C27" s="6" t="n">
        <v>1.5</v>
      </c>
      <c r="D27" s="6" t="n">
        <v>15</v>
      </c>
      <c r="E27" s="6" t="n">
        <v>5</v>
      </c>
      <c r="F27" s="6" t="n">
        <v>4</v>
      </c>
      <c r="G27" s="6" t="n">
        <v>5</v>
      </c>
      <c r="H27" s="7" t="inlineStr">
        <is>
          <t>느리지만 체력 높음</t>
        </is>
      </c>
    </row>
    <row r="28">
      <c r="A28" s="5" t="inlineStr">
        <is>
          <t>불꽃 버기</t>
        </is>
      </c>
      <c r="B28" s="6" t="n">
        <v>50</v>
      </c>
      <c r="C28" s="6" t="n">
        <v>4.5</v>
      </c>
      <c r="D28" s="6" t="n">
        <v>10</v>
      </c>
      <c r="E28" s="6" t="n">
        <v>4</v>
      </c>
      <c r="F28" s="6" t="n">
        <v>7</v>
      </c>
      <c r="G28" s="6" t="n">
        <v>4</v>
      </c>
      <c r="H28" s="7" t="inlineStr">
        <is>
          <t>화염 궤적 남김</t>
        </is>
      </c>
    </row>
    <row r="29">
      <c r="A29" s="5" t="inlineStr">
        <is>
          <t>워로드 탱크트럭 (보스)</t>
        </is>
      </c>
      <c r="B29" s="6" t="n">
        <v>2000</v>
      </c>
      <c r="C29" s="6" t="n">
        <v>1</v>
      </c>
      <c r="D29" s="6" t="n">
        <v>30</v>
      </c>
      <c r="E29" s="6" t="n">
        <v>50</v>
      </c>
      <c r="F29" s="6" t="n">
        <v>12</v>
      </c>
      <c r="G29" s="6" t="n">
        <v>1</v>
      </c>
      <c r="H29" s="7" t="inlineStr">
        <is>
          <t>런 종료 보스, 3페이즈</t>
        </is>
      </c>
    </row>
  </sheetData>
  <mergeCells count="5">
    <mergeCell ref="A4:H4"/>
    <mergeCell ref="A2:H2"/>
    <mergeCell ref="A10:H10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24" customWidth="1" min="10" max="10"/>
  </cols>
  <sheetData>
    <row r="1">
      <c r="A1" s="1" t="inlineStr">
        <is>
          <t>🔧 Car Survivor — 파츠 밸런스 (Parts Balance)</t>
        </is>
      </c>
    </row>
    <row r="2">
      <c r="A2" s="2" t="inlineStr">
        <is>
          <t>⚠️ 노란색 = 입력값 | 초록색 = 계산값 | 파란색 텍스트 = 개발자 수정 권장 수치</t>
        </is>
      </c>
    </row>
    <row r="3">
      <c r="A3" s="3" t="inlineStr">
        <is>
          <t xml:space="preserve">  파츠 목록 및 등급별 수치</t>
        </is>
      </c>
    </row>
    <row r="4">
      <c r="A4" s="4" t="inlineStr">
        <is>
          <t>파츠명</t>
        </is>
      </c>
      <c r="B4" s="4" t="inlineStr">
        <is>
          <t>카테고리</t>
        </is>
      </c>
      <c r="C4" s="4" t="inlineStr">
        <is>
          <t>등급</t>
        </is>
      </c>
      <c r="D4" s="4" t="inlineStr">
        <is>
          <t>기본 효과
(수치)</t>
        </is>
      </c>
      <c r="E4" s="4" t="inlineStr">
        <is>
          <t>레어 효과
(x1.3)</t>
        </is>
      </c>
      <c r="F4" s="4" t="inlineStr">
        <is>
          <t>에픽 효과
(x1.6)</t>
        </is>
      </c>
      <c r="G4" s="4" t="inlineStr">
        <is>
          <t>레전더리
(x2.0)</t>
        </is>
      </c>
      <c r="H4" s="4" t="inlineStr">
        <is>
          <t>드랍 확률
(%)</t>
        </is>
      </c>
      <c r="I4" s="4" t="inlineStr">
        <is>
          <t>스택 가능</t>
        </is>
      </c>
      <c r="J4" s="4" t="inlineStr">
        <is>
          <t>비고</t>
        </is>
      </c>
    </row>
    <row r="5">
      <c r="A5" s="5" t="inlineStr">
        <is>
          <t>터보차저</t>
        </is>
      </c>
      <c r="B5" s="7" t="inlineStr">
        <is>
          <t>엔진</t>
        </is>
      </c>
      <c r="C5" s="7" t="inlineStr">
        <is>
          <t>일반</t>
        </is>
      </c>
      <c r="D5" s="6" t="n">
        <v>12</v>
      </c>
      <c r="E5" s="8">
        <f>D5*1.3</f>
        <v/>
      </c>
      <c r="F5" s="8">
        <f>D5*1.6</f>
        <v/>
      </c>
      <c r="G5" s="8">
        <f>D5*2.0</f>
        <v/>
      </c>
      <c r="H5" s="6" t="n">
        <v>60</v>
      </c>
      <c r="I5" s="7" t="inlineStr">
        <is>
          <t>O</t>
        </is>
      </c>
      <c r="J5" s="7" t="inlineStr">
        <is>
          <t>이동 속도 +%</t>
        </is>
      </c>
    </row>
    <row r="6">
      <c r="A6" s="5" t="inlineStr">
        <is>
          <t>슈퍼차저</t>
        </is>
      </c>
      <c r="B6" s="7" t="inlineStr">
        <is>
          <t>엔진</t>
        </is>
      </c>
      <c r="C6" s="7" t="inlineStr">
        <is>
          <t>일반</t>
        </is>
      </c>
      <c r="D6" s="6" t="n">
        <v>15</v>
      </c>
      <c r="E6" s="8">
        <f>D6*1.3</f>
        <v/>
      </c>
      <c r="F6" s="8">
        <f>D6*1.6</f>
        <v/>
      </c>
      <c r="G6" s="8">
        <f>D6*2.0</f>
        <v/>
      </c>
      <c r="H6" s="6" t="n">
        <v>60</v>
      </c>
      <c r="I6" s="7" t="inlineStr">
        <is>
          <t>O</t>
        </is>
      </c>
      <c r="J6" s="7" t="inlineStr">
        <is>
          <t>공격 속도 +%</t>
        </is>
      </c>
    </row>
    <row r="7">
      <c r="A7" s="5" t="inlineStr">
        <is>
          <t>NOS 부스터</t>
        </is>
      </c>
      <c r="B7" s="7" t="inlineStr">
        <is>
          <t>엔진</t>
        </is>
      </c>
      <c r="C7" s="7" t="inlineStr">
        <is>
          <t>일반</t>
        </is>
      </c>
      <c r="D7" s="6" t="n">
        <v>20</v>
      </c>
      <c r="E7" s="8">
        <f>D7*1.3</f>
        <v/>
      </c>
      <c r="F7" s="8">
        <f>D7*1.6</f>
        <v/>
      </c>
      <c r="G7" s="8">
        <f>D7*2.0</f>
        <v/>
      </c>
      <c r="H7" s="6" t="n">
        <v>60</v>
      </c>
      <c r="I7" s="7" t="inlineStr">
        <is>
          <t>O</t>
        </is>
      </c>
      <c r="J7" s="7" t="inlineStr">
        <is>
          <t>3초 무적 돌진 (쿨타임 초)</t>
        </is>
      </c>
    </row>
    <row r="8">
      <c r="A8" s="5" t="inlineStr">
        <is>
          <t>경량화 섀시</t>
        </is>
      </c>
      <c r="B8" s="7" t="inlineStr">
        <is>
          <t>엔진</t>
        </is>
      </c>
      <c r="C8" s="7" t="inlineStr">
        <is>
          <t>일반</t>
        </is>
      </c>
      <c r="D8" s="6" t="n">
        <v>8</v>
      </c>
      <c r="E8" s="8">
        <f>D8*1.3</f>
        <v/>
      </c>
      <c r="F8" s="8">
        <f>D8*1.6</f>
        <v/>
      </c>
      <c r="G8" s="8">
        <f>D8*2.0</f>
        <v/>
      </c>
      <c r="H8" s="6" t="n">
        <v>60</v>
      </c>
      <c r="I8" s="7" t="inlineStr">
        <is>
          <t>O</t>
        </is>
      </c>
      <c r="J8" s="7" t="inlineStr">
        <is>
          <t>이동 속도 +%, 체력 -5%</t>
        </is>
      </c>
    </row>
    <row r="9">
      <c r="A9" s="5" t="inlineStr">
        <is>
          <t>기관총</t>
        </is>
      </c>
      <c r="B9" s="7" t="inlineStr">
        <is>
          <t>무기</t>
        </is>
      </c>
      <c r="C9" s="7" t="inlineStr">
        <is>
          <t>일반</t>
        </is>
      </c>
      <c r="D9" s="6" t="n">
        <v>20</v>
      </c>
      <c r="E9" s="8">
        <f>D9*1.3</f>
        <v/>
      </c>
      <c r="F9" s="8">
        <f>D9*1.6</f>
        <v/>
      </c>
      <c r="G9" s="8">
        <f>D9*2.0</f>
        <v/>
      </c>
      <c r="H9" s="6" t="n">
        <v>60</v>
      </c>
      <c r="I9" s="7" t="inlineStr">
        <is>
          <t>O</t>
        </is>
      </c>
      <c r="J9" s="7" t="inlineStr">
        <is>
          <t>초당 데미지</t>
        </is>
      </c>
    </row>
    <row r="10">
      <c r="A10" s="5" t="inlineStr">
        <is>
          <t>미사일 런처</t>
        </is>
      </c>
      <c r="B10" s="7" t="inlineStr">
        <is>
          <t>무기</t>
        </is>
      </c>
      <c r="C10" s="7" t="inlineStr">
        <is>
          <t>일반</t>
        </is>
      </c>
      <c r="D10" s="6" t="n">
        <v>60</v>
      </c>
      <c r="E10" s="8">
        <f>D10*1.3</f>
        <v/>
      </c>
      <c r="F10" s="8">
        <f>D10*1.6</f>
        <v/>
      </c>
      <c r="G10" s="8">
        <f>D10*2.0</f>
        <v/>
      </c>
      <c r="H10" s="6" t="n">
        <v>60</v>
      </c>
      <c r="I10" s="7" t="inlineStr">
        <is>
          <t>O</t>
        </is>
      </c>
      <c r="J10" s="7" t="inlineStr">
        <is>
          <t>발사체 데미지</t>
        </is>
      </c>
    </row>
    <row r="11">
      <c r="A11" s="5" t="inlineStr">
        <is>
          <t>EMP 펄스</t>
        </is>
      </c>
      <c r="B11" s="7" t="inlineStr">
        <is>
          <t>무기</t>
        </is>
      </c>
      <c r="C11" s="7" t="inlineStr">
        <is>
          <t>일반</t>
        </is>
      </c>
      <c r="D11" s="6" t="n">
        <v>3</v>
      </c>
      <c r="E11" s="8">
        <f>D11*1.3</f>
        <v/>
      </c>
      <c r="F11" s="8">
        <f>D11*1.6</f>
        <v/>
      </c>
      <c r="G11" s="8">
        <f>D11*2.0</f>
        <v/>
      </c>
      <c r="H11" s="6" t="n">
        <v>60</v>
      </c>
      <c r="I11" s="7" t="inlineStr">
        <is>
          <t>O</t>
        </is>
      </c>
      <c r="J11" s="7" t="inlineStr">
        <is>
          <t>마비 범위 (units)</t>
        </is>
      </c>
    </row>
    <row r="12">
      <c r="A12" s="5" t="inlineStr">
        <is>
          <t>오일 슬릭</t>
        </is>
      </c>
      <c r="B12" s="7" t="inlineStr">
        <is>
          <t>무기</t>
        </is>
      </c>
      <c r="C12" s="7" t="inlineStr">
        <is>
          <t>일반</t>
        </is>
      </c>
      <c r="D12" s="6" t="n">
        <v>2</v>
      </c>
      <c r="E12" s="8">
        <f>D12*1.3</f>
        <v/>
      </c>
      <c r="F12" s="8">
        <f>D12*1.6</f>
        <v/>
      </c>
      <c r="G12" s="8">
        <f>D12*2.0</f>
        <v/>
      </c>
      <c r="H12" s="6" t="n">
        <v>60</v>
      </c>
      <c r="I12" s="7" t="inlineStr">
        <is>
          <t>O</t>
        </is>
      </c>
      <c r="J12" s="7" t="inlineStr">
        <is>
          <t>슬립 지속 (초)</t>
        </is>
      </c>
    </row>
    <row r="13">
      <c r="A13" s="5" t="inlineStr">
        <is>
          <t>지뢰 투하</t>
        </is>
      </c>
      <c r="B13" s="7" t="inlineStr">
        <is>
          <t>무기</t>
        </is>
      </c>
      <c r="C13" s="7" t="inlineStr">
        <is>
          <t>일반</t>
        </is>
      </c>
      <c r="D13" s="6" t="n">
        <v>80</v>
      </c>
      <c r="E13" s="8">
        <f>D13*1.3</f>
        <v/>
      </c>
      <c r="F13" s="8">
        <f>D13*1.6</f>
        <v/>
      </c>
      <c r="G13" s="8">
        <f>D13*2.0</f>
        <v/>
      </c>
      <c r="H13" s="6" t="n">
        <v>60</v>
      </c>
      <c r="I13" s="7" t="inlineStr">
        <is>
          <t>O</t>
        </is>
      </c>
      <c r="J13" s="7" t="inlineStr">
        <is>
          <t>지뢰 데미지</t>
        </is>
      </c>
    </row>
    <row r="14">
      <c r="A14" s="5" t="inlineStr">
        <is>
          <t>런플랫 타이어</t>
        </is>
      </c>
      <c r="B14" s="7" t="inlineStr">
        <is>
          <t>방어</t>
        </is>
      </c>
      <c r="C14" s="7" t="inlineStr">
        <is>
          <t>일반</t>
        </is>
      </c>
      <c r="D14" s="6" t="n">
        <v>20</v>
      </c>
      <c r="E14" s="8">
        <f>D14*1.3</f>
        <v/>
      </c>
      <c r="F14" s="8">
        <f>D14*1.6</f>
        <v/>
      </c>
      <c r="G14" s="8">
        <f>D14*2.0</f>
        <v/>
      </c>
      <c r="H14" s="6" t="n">
        <v>60</v>
      </c>
      <c r="I14" s="7" t="inlineStr">
        <is>
          <t>O</t>
        </is>
      </c>
      <c r="J14" s="7" t="inlineStr">
        <is>
          <t>피격 데미지 감소 %</t>
        </is>
      </c>
    </row>
    <row r="15">
      <c r="A15" s="5" t="inlineStr">
        <is>
          <t>강화 차체</t>
        </is>
      </c>
      <c r="B15" s="7" t="inlineStr">
        <is>
          <t>방어</t>
        </is>
      </c>
      <c r="C15" s="7" t="inlineStr">
        <is>
          <t>일반</t>
        </is>
      </c>
      <c r="D15" s="6" t="n">
        <v>30</v>
      </c>
      <c r="E15" s="8">
        <f>D15*1.3</f>
        <v/>
      </c>
      <c r="F15" s="8">
        <f>D15*1.6</f>
        <v/>
      </c>
      <c r="G15" s="8">
        <f>D15*2.0</f>
        <v/>
      </c>
      <c r="H15" s="6" t="n">
        <v>60</v>
      </c>
      <c r="I15" s="7" t="inlineStr">
        <is>
          <t>O</t>
        </is>
      </c>
      <c r="J15" s="7" t="inlineStr">
        <is>
          <t>최대 체력 +%</t>
        </is>
      </c>
    </row>
    <row r="16">
      <c r="A16" s="5" t="inlineStr">
        <is>
          <t>사이드 램</t>
        </is>
      </c>
      <c r="B16" s="7" t="inlineStr">
        <is>
          <t>방어</t>
        </is>
      </c>
      <c r="C16" s="7" t="inlineStr">
        <is>
          <t>일반</t>
        </is>
      </c>
      <c r="D16" s="6" t="n">
        <v>50</v>
      </c>
      <c r="E16" s="8">
        <f>D16*1.3</f>
        <v/>
      </c>
      <c r="F16" s="8">
        <f>D16*1.6</f>
        <v/>
      </c>
      <c r="G16" s="8">
        <f>D16*2.0</f>
        <v/>
      </c>
      <c r="H16" s="6" t="n">
        <v>60</v>
      </c>
      <c r="I16" s="7" t="inlineStr">
        <is>
          <t>O</t>
        </is>
      </c>
      <c r="J16" s="7" t="inlineStr">
        <is>
          <t>충돌 반사 데미지 %</t>
        </is>
      </c>
    </row>
    <row r="17">
      <c r="A17" s="5" t="inlineStr">
        <is>
          <t>드래프팅</t>
        </is>
      </c>
      <c r="B17" s="7" t="inlineStr">
        <is>
          <t>특수</t>
        </is>
      </c>
      <c r="C17" s="7" t="inlineStr">
        <is>
          <t>일반</t>
        </is>
      </c>
      <c r="D17" s="6" t="n">
        <v>25</v>
      </c>
      <c r="E17" s="8">
        <f>D17*1.3</f>
        <v/>
      </c>
      <c r="F17" s="8">
        <f>D17*1.6</f>
        <v/>
      </c>
      <c r="G17" s="8">
        <f>D17*2.0</f>
        <v/>
      </c>
      <c r="H17" s="6" t="n">
        <v>60</v>
      </c>
      <c r="I17" s="7" t="inlineStr">
        <is>
          <t>O</t>
        </is>
      </c>
      <c r="J17" s="7" t="inlineStr">
        <is>
          <t>후방 접근 속도 +%</t>
        </is>
      </c>
    </row>
    <row r="18">
      <c r="A18" s="5" t="inlineStr">
        <is>
          <t>자동 수리 킷</t>
        </is>
      </c>
      <c r="B18" s="7" t="inlineStr">
        <is>
          <t>특수</t>
        </is>
      </c>
      <c r="C18" s="7" t="inlineStr">
        <is>
          <t>일반</t>
        </is>
      </c>
      <c r="D18" s="6" t="n">
        <v>1</v>
      </c>
      <c r="E18" s="8">
        <f>D18*1.3</f>
        <v/>
      </c>
      <c r="F18" s="8">
        <f>D18*1.6</f>
        <v/>
      </c>
      <c r="G18" s="8">
        <f>D18*2.0</f>
        <v/>
      </c>
      <c r="H18" s="6" t="n">
        <v>60</v>
      </c>
      <c r="I18" s="7" t="inlineStr">
        <is>
          <t>O</t>
        </is>
      </c>
      <c r="J18" s="7" t="inlineStr">
        <is>
          <t>초당 체력 회복 %</t>
        </is>
      </c>
    </row>
    <row r="19">
      <c r="A19" s="5" t="inlineStr">
        <is>
          <t>레이더</t>
        </is>
      </c>
      <c r="B19" s="7" t="inlineStr">
        <is>
          <t>특수</t>
        </is>
      </c>
      <c r="C19" s="7" t="inlineStr">
        <is>
          <t>일반</t>
        </is>
      </c>
      <c r="D19" s="6" t="n">
        <v>20</v>
      </c>
      <c r="E19" s="8">
        <f>D19*1.3</f>
        <v/>
      </c>
      <c r="F19" s="8">
        <f>D19*1.6</f>
        <v/>
      </c>
      <c r="G19" s="8">
        <f>D19*2.0</f>
        <v/>
      </c>
      <c r="H19" s="6" t="n">
        <v>60</v>
      </c>
      <c r="I19" s="7" t="inlineStr">
        <is>
          <t>O</t>
        </is>
      </c>
      <c r="J19" s="7" t="inlineStr">
        <is>
          <t>미니맵 탐지 범위 (units)</t>
        </is>
      </c>
    </row>
    <row r="20">
      <c r="A20" s="9" t="inlineStr">
        <is>
          <t>⚠️ 드랍 확률 합계 (100%가 되어야 함)</t>
        </is>
      </c>
      <c r="H20" s="10">
        <f>SUM(H5:H19)</f>
        <v/>
      </c>
    </row>
  </sheetData>
  <mergeCells count="4">
    <mergeCell ref="A20:G20"/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6" customWidth="1" min="4" max="4"/>
    <col width="10" customWidth="1" min="5" max="5"/>
    <col width="28" customWidth="1" min="6" max="6"/>
    <col width="28" customWidth="1" min="7" max="7"/>
    <col width="16" customWidth="1" min="8" max="8"/>
  </cols>
  <sheetData>
    <row r="1">
      <c r="A1" s="1" t="inlineStr">
        <is>
          <t>⚡ Car Survivor — 파츠 진화 (Evolution)</t>
        </is>
      </c>
    </row>
    <row r="2">
      <c r="A2" s="11" t="inlineStr">
        <is>
          <t>진화 발생 시 차량 외형 변화 필수 — 개발자에게 각 진화별 스프라이트 변화 전달 필요</t>
        </is>
      </c>
    </row>
    <row r="3">
      <c r="A3" s="3" t="inlineStr">
        <is>
          <t xml:space="preserve">  진화 레시피 및 효과</t>
        </is>
      </c>
    </row>
    <row r="4">
      <c r="A4" s="4" t="inlineStr">
        <is>
          <t>진화 결과</t>
        </is>
      </c>
      <c r="B4" s="4" t="inlineStr">
        <is>
          <t>재료 A</t>
        </is>
      </c>
      <c r="C4" s="4" t="inlineStr">
        <is>
          <t>조건 A</t>
        </is>
      </c>
      <c r="D4" s="4" t="inlineStr">
        <is>
          <t>재료 B</t>
        </is>
      </c>
      <c r="E4" s="4" t="inlineStr">
        <is>
          <t>조건 B</t>
        </is>
      </c>
      <c r="F4" s="4" t="inlineStr">
        <is>
          <t>진화 효과</t>
        </is>
      </c>
      <c r="G4" s="4" t="inlineStr">
        <is>
          <t>외형 변화</t>
        </is>
      </c>
      <c r="H4" s="4" t="inlineStr">
        <is>
          <t>우선순위</t>
        </is>
      </c>
    </row>
    <row r="5">
      <c r="A5" s="12" t="inlineStr">
        <is>
          <t>트윈터보</t>
        </is>
      </c>
      <c r="B5" s="13" t="inlineStr">
        <is>
          <t>터보차저</t>
        </is>
      </c>
      <c r="C5" s="13" t="inlineStr">
        <is>
          <t>Lv3</t>
        </is>
      </c>
      <c r="D5" s="13" t="inlineStr">
        <is>
          <t>슈퍼차저</t>
        </is>
      </c>
      <c r="E5" s="13" t="inlineStr">
        <is>
          <t>Lv1</t>
        </is>
      </c>
      <c r="F5" s="13" t="inlineStr">
        <is>
          <t>속도+공격속도 동시 +20%</t>
        </is>
      </c>
      <c r="G5" s="13" t="inlineStr">
        <is>
          <t>지붕에 쌍 터보 스쿠프 추가</t>
        </is>
      </c>
      <c r="H5" s="14" t="inlineStr">
        <is>
          <t>P0 (MVP 필수)</t>
        </is>
      </c>
    </row>
    <row r="6">
      <c r="A6" s="12" t="inlineStr">
        <is>
          <t>유도 EMP 미사일</t>
        </is>
      </c>
      <c r="B6" s="13" t="inlineStr">
        <is>
          <t>미사일 런처</t>
        </is>
      </c>
      <c r="C6" s="13" t="inlineStr">
        <is>
          <t>Lv3</t>
        </is>
      </c>
      <c r="D6" s="13" t="inlineStr">
        <is>
          <t>EMP 펄스</t>
        </is>
      </c>
      <c r="E6" s="13" t="inlineStr">
        <is>
          <t>Lv1</t>
        </is>
      </c>
      <c r="F6" s="13" t="inlineStr">
        <is>
          <t>유도 + 광역 마비</t>
        </is>
      </c>
      <c r="G6" s="13" t="inlineStr">
        <is>
          <t>차 양옆 미사일 포드 장착</t>
        </is>
      </c>
      <c r="H6" s="14" t="inlineStr">
        <is>
          <t>P0 (MVP 필수)</t>
        </is>
      </c>
    </row>
    <row r="7">
      <c r="A7" s="12" t="inlineStr">
        <is>
          <t>화염 기관총</t>
        </is>
      </c>
      <c r="B7" s="13" t="inlineStr">
        <is>
          <t>오일 슬릭</t>
        </is>
      </c>
      <c r="C7" s="13" t="inlineStr">
        <is>
          <t>Lv2</t>
        </is>
      </c>
      <c r="D7" s="13" t="inlineStr">
        <is>
          <t>기관총</t>
        </is>
      </c>
      <c r="E7" s="13" t="inlineStr">
        <is>
          <t>Lv2</t>
        </is>
      </c>
      <c r="F7" s="13" t="inlineStr">
        <is>
          <t>이동 경로에 화염 지속 데미지</t>
        </is>
      </c>
      <c r="G7" s="13" t="inlineStr">
        <is>
          <t>차 전면 화염방사기 장착</t>
        </is>
      </c>
      <c r="H7" s="14" t="inlineStr">
        <is>
          <t>P0 (MVP 필수)</t>
        </is>
      </c>
    </row>
    <row r="8">
      <c r="A8" s="15" t="inlineStr">
        <is>
          <t>불도저 모드</t>
        </is>
      </c>
      <c r="B8" s="16" t="inlineStr">
        <is>
          <t>강화 차체</t>
        </is>
      </c>
      <c r="C8" s="16" t="inlineStr">
        <is>
          <t>Lv3</t>
        </is>
      </c>
      <c r="D8" s="16" t="inlineStr">
        <is>
          <t>사이드 램</t>
        </is>
      </c>
      <c r="E8" s="16" t="inlineStr">
        <is>
          <t>Lv1</t>
        </is>
      </c>
      <c r="F8" s="16" t="inlineStr">
        <is>
          <t>충돌 시 무적 + 반사 데미지</t>
        </is>
      </c>
      <c r="G8" s="16" t="inlineStr">
        <is>
          <t>차 전면 거대 불도저 날 추가</t>
        </is>
      </c>
      <c r="H8" s="17" t="inlineStr">
        <is>
          <t>P1</t>
        </is>
      </c>
    </row>
    <row r="9">
      <c r="A9" s="15" t="inlineStr">
        <is>
          <t>슬립스트림 폭발</t>
        </is>
      </c>
      <c r="B9" s="16" t="inlineStr">
        <is>
          <t>NOS 부스터</t>
        </is>
      </c>
      <c r="C9" s="16" t="inlineStr">
        <is>
          <t>Lv1</t>
        </is>
      </c>
      <c r="D9" s="16" t="inlineStr">
        <is>
          <t>드래프팅</t>
        </is>
      </c>
      <c r="E9" s="16" t="inlineStr">
        <is>
          <t>Lv1</t>
        </is>
      </c>
      <c r="F9" s="16" t="inlineStr">
        <is>
          <t>돌진 시 연쇄 폭발 발생</t>
        </is>
      </c>
      <c r="G9" s="16" t="inlineStr">
        <is>
          <t>차 후미 NOS 탱크 + 불꽃 노즐</t>
        </is>
      </c>
      <c r="H9" s="17" t="inlineStr">
        <is>
          <t>P1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0" customWidth="1" min="8" max="8"/>
    <col width="36" customWidth="1" min="9" max="9"/>
  </cols>
  <sheetData>
    <row r="1">
      <c r="A1" s="1" t="inlineStr">
        <is>
          <t>⏱️ Car Survivor — 웨이브 타임라인 (Wave Timeline)</t>
        </is>
      </c>
    </row>
    <row r="2">
      <c r="A2" s="2" t="inlineStr">
        <is>
          <t>런 1회 목표 시간: 10~15분 | 보스 등장: 12분 구간 | 연료 소진: 15분</t>
        </is>
      </c>
    </row>
    <row r="3">
      <c r="A3" s="3" t="inlineStr">
        <is>
          <t xml:space="preserve">  분 단위 웨이브 설계</t>
        </is>
      </c>
    </row>
    <row r="4">
      <c r="A4" s="4" t="inlineStr">
        <is>
          <t>시간 (분)</t>
        </is>
      </c>
      <c r="B4" s="4" t="inlineStr">
        <is>
          <t>구간명</t>
        </is>
      </c>
      <c r="C4" s="4" t="inlineStr">
        <is>
          <t>러스티 세단
(스폰/30초)</t>
        </is>
      </c>
      <c r="D4" s="4" t="inlineStr">
        <is>
          <t>스파이크 바이크
(스폰/30초)</t>
        </is>
      </c>
      <c r="E4" s="4" t="inlineStr">
        <is>
          <t>장갑 픽업
(스폰/30초)</t>
        </is>
      </c>
      <c r="F4" s="4" t="inlineStr">
        <is>
          <t>불꽃 버기
(스폰/30초)</t>
        </is>
      </c>
      <c r="G4" s="4" t="inlineStr">
        <is>
          <t>동시 최대
적 수</t>
        </is>
      </c>
      <c r="H4" s="4" t="inlineStr">
        <is>
          <t>난이도
배율</t>
        </is>
      </c>
      <c r="I4" s="4" t="inlineStr">
        <is>
          <t>특이사항</t>
        </is>
      </c>
    </row>
    <row r="5">
      <c r="A5" s="5" t="n">
        <v>0</v>
      </c>
      <c r="B5" s="7" t="inlineStr">
        <is>
          <t>튜토리얼</t>
        </is>
      </c>
      <c r="C5" s="18" t="n">
        <v>4</v>
      </c>
      <c r="D5" s="18" t="n">
        <v>0</v>
      </c>
      <c r="E5" s="18" t="n">
        <v>0</v>
      </c>
      <c r="F5" s="18" t="n">
        <v>0</v>
      </c>
      <c r="G5" s="18" t="n">
        <v>15</v>
      </c>
      <c r="H5" s="18" t="n">
        <v>1</v>
      </c>
      <c r="I5" s="7" t="inlineStr">
        <is>
          <t>적응 구간, 러스티 세단만</t>
        </is>
      </c>
    </row>
    <row r="6">
      <c r="A6" s="5" t="n">
        <v>1</v>
      </c>
      <c r="B6" s="7" t="inlineStr">
        <is>
          <t>초반</t>
        </is>
      </c>
      <c r="C6" s="18" t="n">
        <v>5</v>
      </c>
      <c r="D6" s="18" t="n">
        <v>0</v>
      </c>
      <c r="E6" s="18" t="n">
        <v>0</v>
      </c>
      <c r="F6" s="18" t="n">
        <v>0</v>
      </c>
      <c r="G6" s="18" t="n">
        <v>20</v>
      </c>
      <c r="H6" s="18" t="n">
        <v>1.1</v>
      </c>
      <c r="I6" s="7" t="inlineStr"/>
    </row>
    <row r="7">
      <c r="A7" s="5" t="n">
        <v>2</v>
      </c>
      <c r="B7" s="7" t="inlineStr">
        <is>
          <t>초반</t>
        </is>
      </c>
      <c r="C7" s="18" t="n">
        <v>5</v>
      </c>
      <c r="D7" s="18" t="n">
        <v>2</v>
      </c>
      <c r="E7" s="18" t="n">
        <v>0</v>
      </c>
      <c r="F7" s="18" t="n">
        <v>0</v>
      </c>
      <c r="G7" s="18" t="n">
        <v>25</v>
      </c>
      <c r="H7" s="18" t="n">
        <v>1.2</v>
      </c>
      <c r="I7" s="7" t="inlineStr">
        <is>
          <t>스파이크 바이크 첫 등장</t>
        </is>
      </c>
    </row>
    <row r="8">
      <c r="A8" s="19" t="n">
        <v>3</v>
      </c>
      <c r="B8" s="13" t="inlineStr">
        <is>
          <t>중반 시작</t>
        </is>
      </c>
      <c r="C8" s="6" t="n">
        <v>4</v>
      </c>
      <c r="D8" s="6" t="n">
        <v>3</v>
      </c>
      <c r="E8" s="6" t="n">
        <v>1</v>
      </c>
      <c r="F8" s="6" t="n">
        <v>0</v>
      </c>
      <c r="G8" s="6" t="n">
        <v>30</v>
      </c>
      <c r="H8" s="6" t="n">
        <v>1.3</v>
      </c>
      <c r="I8" s="13" t="inlineStr">
        <is>
          <t>장갑 픽업 첫 등장</t>
        </is>
      </c>
    </row>
    <row r="9">
      <c r="A9" s="19" t="n">
        <v>4</v>
      </c>
      <c r="B9" s="13" t="inlineStr">
        <is>
          <t>중반</t>
        </is>
      </c>
      <c r="C9" s="6" t="n">
        <v>4</v>
      </c>
      <c r="D9" s="6" t="n">
        <v>3</v>
      </c>
      <c r="E9" s="6" t="n">
        <v>1</v>
      </c>
      <c r="F9" s="6" t="n">
        <v>0</v>
      </c>
      <c r="G9" s="6" t="n">
        <v>35</v>
      </c>
      <c r="H9" s="6" t="n">
        <v>1.4</v>
      </c>
      <c r="I9" s="13" t="inlineStr"/>
    </row>
    <row r="10">
      <c r="A10" s="19" t="n">
        <v>5</v>
      </c>
      <c r="B10" s="13" t="inlineStr">
        <is>
          <t>중반</t>
        </is>
      </c>
      <c r="C10" s="6" t="n">
        <v>5</v>
      </c>
      <c r="D10" s="6" t="n">
        <v>4</v>
      </c>
      <c r="E10" s="6" t="n">
        <v>2</v>
      </c>
      <c r="F10" s="6" t="n">
        <v>0</v>
      </c>
      <c r="G10" s="6" t="n">
        <v>40</v>
      </c>
      <c r="H10" s="6" t="n">
        <v>1.5</v>
      </c>
      <c r="I10" s="13" t="inlineStr">
        <is>
          <t>밀도 증가</t>
        </is>
      </c>
    </row>
    <row r="11">
      <c r="A11" s="19" t="n">
        <v>6</v>
      </c>
      <c r="B11" s="13" t="inlineStr">
        <is>
          <t>중반 후반</t>
        </is>
      </c>
      <c r="C11" s="6" t="n">
        <v>5</v>
      </c>
      <c r="D11" s="6" t="n">
        <v>4</v>
      </c>
      <c r="E11" s="6" t="n">
        <v>2</v>
      </c>
      <c r="F11" s="6" t="n">
        <v>0</v>
      </c>
      <c r="G11" s="6" t="n">
        <v>45</v>
      </c>
      <c r="H11" s="6" t="n">
        <v>1.6</v>
      </c>
      <c r="I11" s="13" t="inlineStr"/>
    </row>
    <row r="12">
      <c r="A12" s="20" t="n">
        <v>7</v>
      </c>
      <c r="B12" s="21" t="inlineStr">
        <is>
          <t>후반 시작</t>
        </is>
      </c>
      <c r="C12" s="10" t="n">
        <v>4</v>
      </c>
      <c r="D12" s="10" t="n">
        <v>3</v>
      </c>
      <c r="E12" s="10" t="n">
        <v>2</v>
      </c>
      <c r="F12" s="10" t="n">
        <v>2</v>
      </c>
      <c r="G12" s="10" t="n">
        <v>50</v>
      </c>
      <c r="H12" s="10" t="n">
        <v>1.8</v>
      </c>
      <c r="I12" s="21" t="inlineStr">
        <is>
          <t>불꽃 버기 첫 등장</t>
        </is>
      </c>
    </row>
    <row r="13">
      <c r="A13" s="20" t="n">
        <v>8</v>
      </c>
      <c r="B13" s="21" t="inlineStr">
        <is>
          <t>후반</t>
        </is>
      </c>
      <c r="C13" s="10" t="n">
        <v>4</v>
      </c>
      <c r="D13" s="10" t="n">
        <v>4</v>
      </c>
      <c r="E13" s="10" t="n">
        <v>2</v>
      </c>
      <c r="F13" s="10" t="n">
        <v>2</v>
      </c>
      <c r="G13" s="10" t="n">
        <v>55</v>
      </c>
      <c r="H13" s="10" t="n">
        <v>1.9</v>
      </c>
      <c r="I13" s="21" t="inlineStr"/>
    </row>
    <row r="14">
      <c r="A14" s="20" t="n">
        <v>9</v>
      </c>
      <c r="B14" s="21" t="inlineStr">
        <is>
          <t>후반</t>
        </is>
      </c>
      <c r="C14" s="10" t="n">
        <v>5</v>
      </c>
      <c r="D14" s="10" t="n">
        <v>4</v>
      </c>
      <c r="E14" s="10" t="n">
        <v>3</v>
      </c>
      <c r="F14" s="10" t="n">
        <v>3</v>
      </c>
      <c r="G14" s="10" t="n">
        <v>60</v>
      </c>
      <c r="H14" s="10" t="n">
        <v>2</v>
      </c>
      <c r="I14" s="21" t="inlineStr"/>
    </row>
    <row r="15">
      <c r="A15" s="20" t="n">
        <v>10</v>
      </c>
      <c r="B15" s="21" t="inlineStr">
        <is>
          <t>위기</t>
        </is>
      </c>
      <c r="C15" s="10" t="n">
        <v>5</v>
      </c>
      <c r="D15" s="10" t="n">
        <v>5</v>
      </c>
      <c r="E15" s="10" t="n">
        <v>3</v>
      </c>
      <c r="F15" s="10" t="n">
        <v>3</v>
      </c>
      <c r="G15" s="10" t="n">
        <v>65</v>
      </c>
      <c r="H15" s="10" t="n">
        <v>2.2</v>
      </c>
      <c r="I15" s="21" t="inlineStr"/>
    </row>
    <row r="16">
      <c r="A16" s="20" t="n">
        <v>11</v>
      </c>
      <c r="B16" s="21" t="inlineStr">
        <is>
          <t>위기</t>
        </is>
      </c>
      <c r="C16" s="10" t="n">
        <v>6</v>
      </c>
      <c r="D16" s="10" t="n">
        <v>5</v>
      </c>
      <c r="E16" s="10" t="n">
        <v>3</v>
      </c>
      <c r="F16" s="10" t="n">
        <v>4</v>
      </c>
      <c r="G16" s="10" t="n">
        <v>70</v>
      </c>
      <c r="H16" s="10" t="n">
        <v>2.3</v>
      </c>
      <c r="I16" s="21" t="inlineStr"/>
    </row>
    <row r="17">
      <c r="A17" s="22" t="n">
        <v>12</v>
      </c>
      <c r="B17" s="23" t="inlineStr">
        <is>
          <t>보스 등장!</t>
        </is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1</v>
      </c>
      <c r="H17" s="24" t="n">
        <v>3</v>
      </c>
      <c r="I17" s="25" t="inlineStr">
        <is>
          <t>🔴 워로드 탱크트럭 등장 — 기존 적 전부 사라짐</t>
        </is>
      </c>
    </row>
    <row r="18">
      <c r="A18" s="22" t="n">
        <v>13</v>
      </c>
      <c r="B18" s="23" t="inlineStr">
        <is>
          <t>보스전</t>
        </is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1</v>
      </c>
      <c r="H18" s="24" t="n">
        <v>3</v>
      </c>
      <c r="I18" s="25" t="inlineStr">
        <is>
          <t>보스 처치 시 런 완료</t>
        </is>
      </c>
    </row>
    <row r="19">
      <c r="A19" s="22" t="n">
        <v>14</v>
      </c>
      <c r="B19" s="23" t="inlineStr">
        <is>
          <t>보스전</t>
        </is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1</v>
      </c>
      <c r="H19" s="24" t="n">
        <v>3</v>
      </c>
      <c r="I19" s="25" t="inlineStr">
        <is>
          <t>미처치 시 연료 게이지 마저 소진</t>
        </is>
      </c>
    </row>
    <row r="20">
      <c r="A20" s="15" t="n">
        <v>15</v>
      </c>
      <c r="B20" s="26" t="inlineStr">
        <is>
          <t>런 종료</t>
        </is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16" t="inlineStr">
        <is>
          <t>🏁 연료 소진 — 강제 런 종료</t>
        </is>
      </c>
    </row>
    <row r="22">
      <c r="A22" s="28" t="inlineStr">
        <is>
          <t>범례:</t>
        </is>
      </c>
      <c r="B22" s="29" t="inlineStr">
        <is>
          <t>초반 (0~2분)</t>
        </is>
      </c>
      <c r="C22" s="30" t="inlineStr">
        <is>
          <t>중반 (3~6분)</t>
        </is>
      </c>
      <c r="D22" s="31" t="inlineStr">
        <is>
          <t>후반 (7~11분)</t>
        </is>
      </c>
      <c r="E22" s="32" t="inlineStr">
        <is>
          <t>보스전 (12~14분)</t>
        </is>
      </c>
      <c r="F22" s="33" t="inlineStr">
        <is>
          <t>런 종료 (15분)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6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💰 Car Survivor — 수익화 수치 (Monetization)</t>
        </is>
      </c>
    </row>
    <row r="2">
      <c r="A2" s="2" t="inlineStr">
        <is>
          <t>탕탕특공대 벤치마크 기반. 한국 RPD $15.5 참고.</t>
        </is>
      </c>
    </row>
    <row r="3">
      <c r="A3" s="3" t="inlineStr">
        <is>
          <t xml:space="preserve">  인앱구매 상품 구성 (IAP)</t>
        </is>
      </c>
    </row>
    <row r="4">
      <c r="A4" s="4" t="inlineStr">
        <is>
          <t>상품명</t>
        </is>
      </c>
      <c r="B4" s="4" t="inlineStr">
        <is>
          <t>가격 (원)</t>
        </is>
      </c>
      <c r="C4" s="4" t="inlineStr">
        <is>
          <t>달러 환산</t>
        </is>
      </c>
      <c r="D4" s="4" t="inlineStr">
        <is>
          <t>내용</t>
        </is>
      </c>
      <c r="E4" s="4" t="inlineStr">
        <is>
          <t>성격</t>
        </is>
      </c>
      <c r="F4" s="4" t="inlineStr">
        <is>
          <t>출시 단계</t>
        </is>
      </c>
      <c r="G4" s="4" t="inlineStr">
        <is>
          <t>비고</t>
        </is>
      </c>
    </row>
    <row r="5">
      <c r="A5" s="5" t="inlineStr">
        <is>
          <t>스타터 패키지</t>
        </is>
      </c>
      <c r="B5" s="6" t="n">
        <v>1900</v>
      </c>
      <c r="C5" s="34">
        <f>B5/1350</f>
        <v/>
      </c>
      <c r="D5" s="7" t="inlineStr">
        <is>
          <t>골드 1,000 + 레어 파츠 3개</t>
        </is>
      </c>
      <c r="E5" s="7" t="inlineStr">
        <is>
          <t>원타임</t>
        </is>
      </c>
      <c r="F5" s="7" t="inlineStr">
        <is>
          <t>MVP</t>
        </is>
      </c>
      <c r="G5" s="7" t="inlineStr">
        <is>
          <t>첫 구매 유도용</t>
        </is>
      </c>
    </row>
    <row r="6">
      <c r="A6" s="5" t="inlineStr">
        <is>
          <t>프리미엄 도색 팩</t>
        </is>
      </c>
      <c r="B6" s="6" t="n">
        <v>2900</v>
      </c>
      <c r="C6" s="34">
        <f>B6/1350</f>
        <v/>
      </c>
      <c r="D6" s="7" t="inlineStr">
        <is>
          <t>메탈릭/크롬/무광 색상 10종</t>
        </is>
      </c>
      <c r="E6" s="7" t="inlineStr">
        <is>
          <t>핵심 수익</t>
        </is>
      </c>
      <c r="F6" s="7" t="inlineStr">
        <is>
          <t>MVP</t>
        </is>
      </c>
      <c r="G6" s="7" t="inlineStr">
        <is>
          <t>자동차 팬 핵심 타겟</t>
        </is>
      </c>
    </row>
    <row r="7">
      <c r="A7" s="5" t="inlineStr">
        <is>
          <t>프리미엄 휠 팩</t>
        </is>
      </c>
      <c r="B7" s="6" t="n">
        <v>2900</v>
      </c>
      <c r="C7" s="34">
        <f>B7/1350</f>
        <v/>
      </c>
      <c r="D7" s="7" t="inlineStr">
        <is>
          <t>특수 휠 디자인 5종</t>
        </is>
      </c>
      <c r="E7" s="7" t="inlineStr">
        <is>
          <t>핵심 수익</t>
        </is>
      </c>
      <c r="F7" s="7" t="inlineStr">
        <is>
          <t>MVP</t>
        </is>
      </c>
      <c r="G7" s="7" t="inlineStr">
        <is>
          <t>도색 팩과 번들 가능</t>
        </is>
      </c>
    </row>
    <row r="8">
      <c r="A8" s="5" t="inlineStr">
        <is>
          <t>광고 제거</t>
        </is>
      </c>
      <c r="B8" s="6" t="n">
        <v>4900</v>
      </c>
      <c r="C8" s="34">
        <f>B8/1350</f>
        <v/>
      </c>
      <c r="D8" s="7" t="inlineStr">
        <is>
          <t>전면 광고 완전 제거</t>
        </is>
      </c>
      <c r="E8" s="7" t="inlineStr">
        <is>
          <t>편의</t>
        </is>
      </c>
      <c r="F8" s="7" t="inlineStr">
        <is>
          <t>MVP</t>
        </is>
      </c>
      <c r="G8" s="7" t="inlineStr">
        <is>
          <t>광고 싫어하는 유저 타겟</t>
        </is>
      </c>
    </row>
    <row r="9">
      <c r="A9" s="5" t="inlineStr">
        <is>
          <t>월정액 카드</t>
        </is>
      </c>
      <c r="B9" s="6" t="n">
        <v>4900</v>
      </c>
      <c r="C9" s="34">
        <f>B9/1350</f>
        <v/>
      </c>
      <c r="D9" s="7" t="inlineStr">
        <is>
          <t>매일 골드 200 + 스크랩 50</t>
        </is>
      </c>
      <c r="E9" s="7" t="inlineStr">
        <is>
          <t>리텐션</t>
        </is>
      </c>
      <c r="F9" s="7" t="inlineStr">
        <is>
          <t>v1.5</t>
        </is>
      </c>
      <c r="G9" s="7" t="inlineStr">
        <is>
          <t>탕탕특공대 월정액 참고</t>
        </is>
      </c>
    </row>
    <row r="10">
      <c r="A10" s="5" t="inlineStr">
        <is>
          <t>시즌 번들 (한정)</t>
        </is>
      </c>
      <c r="B10" s="6" t="n">
        <v>9900</v>
      </c>
      <c r="C10" s="34">
        <f>B10/1350</f>
        <v/>
      </c>
      <c r="D10" s="7" t="inlineStr">
        <is>
          <t>한정 도색 + 휠 + 바디킷 세트</t>
        </is>
      </c>
      <c r="E10" s="7" t="inlineStr">
        <is>
          <t>한정</t>
        </is>
      </c>
      <c r="F10" s="7" t="inlineStr">
        <is>
          <t>v2</t>
        </is>
      </c>
      <c r="G10" s="7" t="inlineStr">
        <is>
          <t>희소성 + 과시욕 자극</t>
        </is>
      </c>
    </row>
    <row r="12">
      <c r="A12" s="3" t="inlineStr">
        <is>
          <t xml:space="preserve">  재화 설계 (Currency Design)</t>
        </is>
      </c>
    </row>
    <row r="13">
      <c r="A13" s="4" t="inlineStr">
        <is>
          <t>재화</t>
        </is>
      </c>
      <c r="B13" s="4" t="inlineStr">
        <is>
          <t>런 완료 기본 지급</t>
        </is>
      </c>
      <c r="C13" s="4" t="inlineStr">
        <is>
          <t>보스 처치 보너스</t>
        </is>
      </c>
      <c r="D13" s="4" t="inlineStr">
        <is>
          <t>광고 시청 보너스</t>
        </is>
      </c>
      <c r="E13" s="4" t="inlineStr">
        <is>
          <t>일일 최대 획득</t>
        </is>
      </c>
      <c r="F13" s="4" t="inlineStr">
        <is>
          <t>사용처</t>
        </is>
      </c>
      <c r="G13" s="4" t="inlineStr">
        <is>
          <t>비고</t>
        </is>
      </c>
    </row>
    <row r="14">
      <c r="A14" s="5" t="inlineStr">
        <is>
          <t>골드</t>
        </is>
      </c>
      <c r="B14" s="6" t="n">
        <v>100</v>
      </c>
      <c r="C14" s="6" t="n">
        <v>200</v>
      </c>
      <c r="D14" s="6" t="n">
        <v>200</v>
      </c>
      <c r="E14" s="6" t="n">
        <v>800</v>
      </c>
      <c r="F14" s="7" t="inlineStr">
        <is>
          <t>차량 언락, 스탯 강화, 일부 커스텀</t>
        </is>
      </c>
      <c r="G14" s="7" t="inlineStr">
        <is>
          <t>광고 1회 = 골드 200 (2배 보상)</t>
        </is>
      </c>
    </row>
    <row r="15">
      <c r="A15" s="5" t="inlineStr">
        <is>
          <t>스크랩</t>
        </is>
      </c>
      <c r="B15" s="6" t="n">
        <v>20</v>
      </c>
      <c r="C15" s="6" t="n">
        <v>50</v>
      </c>
      <c r="D15" s="6" t="n">
        <v>0</v>
      </c>
      <c r="E15" s="6" t="n">
        <v>120</v>
      </c>
      <c r="F15" s="7" t="inlineStr">
        <is>
          <t>파츠 합성 재료</t>
        </is>
      </c>
      <c r="G15" s="7" t="inlineStr">
        <is>
          <t>파츠 분해 시 획득</t>
        </is>
      </c>
    </row>
    <row r="17">
      <c r="A17" s="3" t="inlineStr">
        <is>
          <t xml:space="preserve">  KPI 목표 (벤치마크)</t>
        </is>
      </c>
    </row>
    <row r="18">
      <c r="A18" s="4" t="inlineStr">
        <is>
          <t>지표</t>
        </is>
      </c>
      <c r="B18" s="4" t="inlineStr">
        <is>
          <t>탕탕특공대 (참고)</t>
        </is>
      </c>
      <c r="C18" s="4" t="inlineStr">
        <is>
          <t>Car Survivor 목표</t>
        </is>
      </c>
      <c r="D18" s="4" t="inlineStr">
        <is>
          <t>측정 시점</t>
        </is>
      </c>
      <c r="E18" s="4" t="inlineStr">
        <is>
          <t>비고</t>
        </is>
      </c>
    </row>
    <row r="19">
      <c r="A19" s="5" t="inlineStr">
        <is>
          <t>D1 리텐션</t>
        </is>
      </c>
      <c r="B19" s="16" t="inlineStr">
        <is>
          <t>~40%</t>
        </is>
      </c>
      <c r="C19" s="8" t="inlineStr">
        <is>
          <t>30% 이상</t>
        </is>
      </c>
      <c r="D19" s="7" t="inlineStr">
        <is>
          <t>출시 후 즉시</t>
        </is>
      </c>
      <c r="E19" s="7" t="inlineStr"/>
    </row>
    <row r="20">
      <c r="A20" s="5" t="inlineStr">
        <is>
          <t>D7 리텐션</t>
        </is>
      </c>
      <c r="B20" s="16" t="inlineStr">
        <is>
          <t>~15%</t>
        </is>
      </c>
      <c r="C20" s="8" t="inlineStr">
        <is>
          <t>12% 이상</t>
        </is>
      </c>
      <c r="D20" s="7" t="inlineStr">
        <is>
          <t>출시 후 7일</t>
        </is>
      </c>
      <c r="E20" s="7" t="inlineStr"/>
    </row>
    <row r="21">
      <c r="A21" s="5" t="inlineStr">
        <is>
          <t>D30 리텐션</t>
        </is>
      </c>
      <c r="B21" s="16" t="inlineStr">
        <is>
          <t>~5%</t>
        </is>
      </c>
      <c r="C21" s="8" t="inlineStr">
        <is>
          <t>4% 이상</t>
        </is>
      </c>
      <c r="D21" s="7" t="inlineStr">
        <is>
          <t>출시 후 30일</t>
        </is>
      </c>
      <c r="E21" s="7" t="inlineStr"/>
    </row>
    <row r="22">
      <c r="A22" s="5" t="inlineStr">
        <is>
          <t>ARPU (월)</t>
        </is>
      </c>
      <c r="B22" s="16" t="inlineStr">
        <is>
          <t>미공개</t>
        </is>
      </c>
      <c r="C22" s="8" t="inlineStr">
        <is>
          <t>₩1,000~3,000</t>
        </is>
      </c>
      <c r="D22" s="7" t="inlineStr">
        <is>
          <t>출시 후 1개월</t>
        </is>
      </c>
      <c r="E22" s="7" t="inlineStr">
        <is>
          <t>광고+IAP 합산</t>
        </is>
      </c>
    </row>
    <row r="23">
      <c r="A23" s="5" t="inlineStr">
        <is>
          <t>DAU (1개월)</t>
        </is>
      </c>
      <c r="B23" s="16" t="inlineStr">
        <is>
          <t>미공개</t>
        </is>
      </c>
      <c r="C23" s="8" t="inlineStr">
        <is>
          <t>1,000명</t>
        </is>
      </c>
      <c r="D23" s="7" t="inlineStr">
        <is>
          <t>소프트론칭 목표</t>
        </is>
      </c>
      <c r="E23" s="7" t="inlineStr"/>
    </row>
    <row r="24">
      <c r="A24" s="5" t="inlineStr">
        <is>
          <t>IAP 전환율</t>
        </is>
      </c>
      <c r="B24" s="16" t="inlineStr">
        <is>
          <t>~3~5%</t>
        </is>
      </c>
      <c r="C24" s="8" t="inlineStr">
        <is>
          <t>3% 이상</t>
        </is>
      </c>
      <c r="D24" s="7" t="inlineStr">
        <is>
          <t>출시 후 1개월</t>
        </is>
      </c>
      <c r="E24" s="7" t="inlineStr">
        <is>
          <t>커스텀 팩 구매 기준</t>
        </is>
      </c>
    </row>
  </sheetData>
  <mergeCells count="5">
    <mergeCell ref="A1:G1"/>
    <mergeCell ref="A17:G17"/>
    <mergeCell ref="A3:G3"/>
    <mergeCell ref="A12:G12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2026-03-27T21:57:40Z</dcterms:created>
  <dcterms:modified xmlns:dcterms="http://purl.org/dc/terms/" xmlns:xsi="http://www.w3.org/2001/XMLSchema-instance" xsi:type="dcterms:W3CDTF">2026-03-27T21:57:40Z</dcterms:modified>
</cp:coreProperties>
</file>